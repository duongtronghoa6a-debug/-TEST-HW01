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3" sheetId="1" r:id="rId5"/>
  </sheets>
  <definedNames/>
  <calcPr/>
</workbook>
</file>

<file path=xl/sharedStrings.xml><?xml version="1.0" encoding="utf-8"?>
<sst xmlns="http://schemas.openxmlformats.org/spreadsheetml/2006/main" count="157" uniqueCount="133">
  <si>
    <t>BẢNG QUẢN LÝ KIỂM THỬ CHẤT LƯỢNG - BẾP HỒNG NGOẠI SUNHOUSE SHD6011</t>
  </si>
  <si>
    <t>Thông số kỹ thuật: Công suất 2000W | Điện áp 220V~/50Hz | Khối lượng 1.9 kg | Kích thước 360 x 290 x 62 mm | Mã vạch: 8936020951560</t>
  </si>
  <si>
    <t>TỔNG TEST CASES</t>
  </si>
  <si>
    <t>ĐẠT (PASS)</t>
  </si>
  <si>
    <t>KHÔNG ĐẠT (FAIL)</t>
  </si>
  <si>
    <t>CHỜ / KHÓA (PENDING/BLOCKED)</t>
  </si>
  <si>
    <t>TỶ LỆ ĐẠT (PASS RATE)</t>
  </si>
  <si>
    <t>ID</t>
  </si>
  <si>
    <t>Mục tiêu (Test Objective)</t>
  </si>
  <si>
    <t>Đầu vào (Test Inputs)</t>
  </si>
  <si>
    <t>Các bước thực hiện (Test Steps)</t>
  </si>
  <si>
    <t>Kết quả mong đợi (Expected Result)</t>
  </si>
  <si>
    <t>Kết quả thực tế (Actual Result)</t>
  </si>
  <si>
    <t>Đánh giá (Status)</t>
  </si>
  <si>
    <t>TC01</t>
  </si>
  <si>
    <t>Kiểm tra hoạt động khởi động cơ bản với điện áp định mức.</t>
  </si>
  <si>
    <t>- Nguồn điện 220V~50Hz
- Bếp hồng ngoại</t>
  </si>
  <si>
    <t>1. Cắm phích cắm vào ổ điện 220V.
2. Vặn núm điều khiển cơ học (hoặc nhấn nút nguồn) để bật bếp.</t>
  </si>
  <si>
    <t>Bếp lên nguồn, mâm nhiệt bắt đầu đỏ lên tỏa nhiệt, quạt gió bên dưới bắt đầu chạy.</t>
  </si>
  <si>
    <t>Bếp khởi động tốt, mâm nhiệt đỏ và quạt chạy êm.</t>
  </si>
  <si>
    <t>Pass</t>
  </si>
  <si>
    <t>TC02</t>
  </si>
  <si>
    <t>Kiểm tra công suất tiêu thụ tối đa (2000W).</t>
  </si>
  <si>
    <t>- Đồng hồ đo công suất điện (Wattmeter).</t>
  </si>
  <si>
    <t>1. Cắm bếp qua đồng hồ đo công suất.
2. Bật bếp và vặn núm điều chỉnh lên mức cao nhất (Max).</t>
  </si>
  <si>
    <t>Mức công suất hiển thị trên đồng hồ đo xấp xỉ 2000W (trong phạm vi sai số cho phép của nhà sản xuất).</t>
  </si>
  <si>
    <t>[Chưa thực thi]</t>
  </si>
  <si>
    <t>Pending</t>
  </si>
  <si>
    <t>TC03</t>
  </si>
  <si>
    <t>Kiểm tra thông số kích thước vật lý của sản phẩm.</t>
  </si>
  <si>
    <t>- Thước đo chuẩn (cm/mm).</t>
  </si>
  <si>
    <t>1. Dùng thước đo chiều dài, chiều rộng và chiều cao của toàn bộ thân bếp.</t>
  </si>
  <si>
    <t>Kích thước thực tế khớp với thông số trên nhãn: 360 x 290 x 62 mm.</t>
  </si>
  <si>
    <t>Kích thước đo được đúng 360 x 290 x 62 mm.</t>
  </si>
  <si>
    <t>TC04</t>
  </si>
  <si>
    <t>Kiểm tra thông số khối lượng của sản phẩm.</t>
  </si>
  <si>
    <t>- Cân điện tử có độ chính xác cao.</t>
  </si>
  <si>
    <t>1. Đặt toàn bộ bếp (bao gồm cả dây nguồn) lên bàn cân điện tử.</t>
  </si>
  <si>
    <t>Khối lượng hiển thị xấp xỉ 1.9 kg (có thể có dung sai rất nhỏ).</t>
  </si>
  <si>
    <t>Cân thực tế đạt 1.89 kg, khớp với thông số.</t>
  </si>
  <si>
    <t>TC05</t>
  </si>
  <si>
    <t>Kiểm tra tính tương thích vật liệu xoong nồi (Đặc trưng bếp hồng ngoại).</t>
  </si>
  <si>
    <t>- Nồi nhôm, nồi inox, nồi thủy tinh, nồi đất.</t>
  </si>
  <si>
    <t>1. Lần lượt đặt từng loại nồi chứa 0.5L nước lên mặt bếp.
2. Bật bếp đun.</t>
  </si>
  <si>
    <t>Bếp làm nóng và đun sôi nước bình thường trên tất cả các loại vật liệu nồi (không kén nồi).</t>
  </si>
  <si>
    <t>Bếp làm nóng tốt trên cả 2 chất liệu nồi thử nghiệm.</t>
  </si>
  <si>
    <t>TC06</t>
  </si>
  <si>
    <t>Kiểm tra hoạt động của nút bấm(Điều chỉnh nhiệt độ).</t>
  </si>
  <si>
    <t>- Bếp đang được cấp điện.</t>
  </si>
  <si>
    <t>1.  Thử các nút điều chỉnh nhiệt độ trên máy</t>
  </si>
  <si>
    <t>Các nút ấn trơn tru không bị kẹt, điều chỉnh được nhiệt d odoj</t>
  </si>
  <si>
    <t>Núm bấm trơn tru, nhiệt độ thay đổi nhạy bén.</t>
  </si>
  <si>
    <t>TC07</t>
  </si>
  <si>
    <t>Kiểm tra chức năng tự động ngắt an toàn (Rơ-le nhiệt).</t>
  </si>
  <si>
    <t>- Bếp không đặt nồi.</t>
  </si>
  <si>
    <t>1. Bật bếp ở mức công suất cao nhất (2000W) và không đặt nồi lên bề mặt.
2. Chờ 5-10 phút.</t>
  </si>
  <si>
    <t>Bếp sẽ tự động ngắt tạm thời (vòng sáng đỏ tắt đi) khi nhiệt độ mâm nhiệt lên quá cao, và tự động bật lại khi nhiệt hạ xuống mức an toàn.</t>
  </si>
  <si>
    <t>Rơ-le tự ngắt sau khoảng 7 phút và bật lại khi nguội bớt.</t>
  </si>
  <si>
    <t>TC08</t>
  </si>
  <si>
    <t>Kiểm tra hoạt động của quạt tản nhiệt đáy bếp.</t>
  </si>
  <si>
    <t>- Bếp đang đun ở mức nhiệt cao.</t>
  </si>
  <si>
    <t>1. Bật bếp, ghé tai nghe và dùng tay kiểm tra luồng gió ở khe tản nhiệt đáy/hông bếp.
2. Tắt bếp bằng núm vặn nhưng vẫn cắm điện.</t>
  </si>
  <si>
    <t>Quạt chạy êm khi bếp hoạt động. Khi tắt bếp, quạt vẫn tiếp tục chạy thêm một thời gian để làm mát linh kiện rồi mới dừng hẳn.</t>
  </si>
  <si>
    <t>Quạt tản nhiệt chạy êm, tự động duy trì làm mát sau khi tắt bếp.</t>
  </si>
  <si>
    <t>TC09</t>
  </si>
  <si>
    <t>Kiểm tra độ bền chịu tải trọng của mặt kính bếp.</t>
  </si>
  <si>
    <t>- Nồi chứa đầy nước (Tổng trọng lượng khoảng 10kg).</t>
  </si>
  <si>
    <t>1. Đặt nhẹ nhàng nồi nặng 10kg lên chính giữa vùng mâm nhiệt của bếp.</t>
  </si>
  <si>
    <t>Mặt kính cường lực nguyên vẹn, không bị nứt vỡ hay cong vênh, bếp vẫn hoạt động ổn định.</t>
  </si>
  <si>
    <t>Mặt kính không bị cong vênh hay nứt vỡ dưới tải 10kg.</t>
  </si>
  <si>
    <t>TC10</t>
  </si>
  <si>
    <t>Kiểm tra cảnh báo nhiệt dư (Residual Heat) sau khi nấu.</t>
  </si>
  <si>
    <t>- Bếp vừa đun sôi nước.</t>
  </si>
  <si>
    <t>1. Tắt bếp và nhấc nồi ra khỏi mặt bếp.
2. Quan sát mặt kính tại vùng nấu.</t>
  </si>
  <si>
    <t>Mặt bếp tại vùng nấu vẫn tiếp tục phát ánh sáng đỏ hoặc có đèn báo "H" (Hot) / đèn cảnh báo nóng sáng lên để người dùng không chạm tay vào.</t>
  </si>
  <si>
    <t>Vùng nấu duy trì ánh sáng đỏ cảnh báo nhiệt dư rõ ràng.</t>
  </si>
  <si>
    <t>TC11</t>
  </si>
  <si>
    <t>Kiểm tra sự cách nhiệt của mặt kính (Vùng ngoài mâm nhiệt).</t>
  </si>
  <si>
    <t>- Súng đo nhiệt độ hồng ngoại.</t>
  </si>
  <si>
    <t>1. Bật bếp ở công suất Max trong 15 phút.
2. Dùng súng bắn nhiệt đo nhiệt độ mặt kính ở các mép ngoài xa vùng nấu.</t>
  </si>
  <si>
    <t>Nhiệt độ tại các mép, góc bếp (xa mâm nhiệt) vẫn ở mức an toàn, không quá nóng để tránh gây bỏng khi vô tình chạm phải.</t>
  </si>
  <si>
    <t>Viền mép ngoài mặt kính chỉ ấm, an toàn khi chạm vào.</t>
  </si>
  <si>
    <t>TC12</t>
  </si>
  <si>
    <t>Kiểm tra mã vạch (Barcode) và mã QR trên tem nhãn.</t>
  </si>
  <si>
    <t>- Điện thoại thông minh có ứng dụng quét mã.</t>
  </si>
  <si>
    <t>1. Mở camera/app quét mã vạch.
2. Quét mã QR và mã vạch (8936020951560) in trên tem.</t>
  </si>
  <si>
    <t>Kết quả quét trả về thông tin chính xác xác nhận sản phẩm là Bếp hồng ngoại SUNHOUSE SHD6011.</t>
  </si>
  <si>
    <t>Quét thành công</t>
  </si>
  <si>
    <t>TC13</t>
  </si>
  <si>
    <t>Kiểm tra độ bám dính của tem thông số kỹ thuật.</t>
  </si>
  <si>
    <t>- Khăn ẩm.</t>
  </si>
  <si>
    <t>1. Dùng khăn ẩm miết chặt lên mặt tem thông số kỹ thuật dán trên vỏ bếp nhiều lần.</t>
  </si>
  <si>
    <t>Tem không bị rách, bong tróc góc; các thông tin (công suất, hotline 1800 6680...) không bị nhòe mực mờ chữ.</t>
  </si>
  <si>
    <t>Tem dán chắc chắn, chữ in không nhòe khi chà xát với nước.</t>
  </si>
  <si>
    <t>TC14</t>
  </si>
  <si>
    <t>Kiểm tra độ chịu tải và cách điện của dây cáp nguồn.</t>
  </si>
  <si>
    <t>- Bếp đun liên tục 1 giờ ở 2000W.</t>
  </si>
  <si>
    <t>1. Bật bếp hoạt động tối đa công suất 2000W trong 1 tiếng.
2. Dùng tay chạm kiểm tra nhiệt độ dọc theo dây nguồn và phích cắm.</t>
  </si>
  <si>
    <t>Dây cáp và phích cắm chỉ hơi ấm nhẹ, không bị mềm nhũn, biến dạng, quá nhiệt, hoặc ngửi thấy mùi nhựa khét.</t>
  </si>
  <si>
    <t>Dây cáp và phích cắm nóng lên và biến dạng nhẹ khi nấu hết công suất trong thời gian dài.</t>
  </si>
  <si>
    <t>Fail</t>
  </si>
  <si>
    <t>TC15</t>
  </si>
  <si>
    <t>Kiểm tra thời gian đun sôi thực tế (Hiệu suất 2000W).</t>
  </si>
  <si>
    <t>- Nồi inox 1 đáy mỏng.
- 1 Lít nước ở nhiệt độ phòng (25°C).
- Đồng hồ bấm giờ.</t>
  </si>
  <si>
    <t>1. Cho 1L nước vào nồi, đặt lên bếp.
2. Vặn mức Max (2000W) và bắt đầu bấm giờ.
3. Dừng bấm giờ khi nước sôi sùng sục.</t>
  </si>
  <si>
    <t>Thời gian đun sôi 1 lít nước nằm trong khoảng tiêu chuẩn của bếp 2000W (khoảng 3 - 5 phút), chứng tỏ hiệu suất mâm nhiệt tốt.</t>
  </si>
  <si>
    <t>3 TEST CASES BỔ SUNG</t>
  </si>
  <si>
    <t>TC16</t>
  </si>
  <si>
    <t>Kiểm tra khả năng chịu sốc nhiệt của mặt kính (Thermal Shock Test).</t>
  </si>
  <si>
    <t>- Bếp hồng ngoại.
- 50ml nước lạnh (khoảng 10-15°C).</t>
  </si>
  <si>
    <t>1. Bật bếp ở mức Max (2000W) không nồi cho đến khi mâm nhiệt đỏ rực, mặt kính đạt nhiệt độ rất cao.
2. Đổ đột ngột 50ml nước lạnh trực tiếp lên khu vực mặt kính đang nóng đỏ.</t>
  </si>
  <si>
    <t>Mặt kính (dù làm bằng vật liệu chịu nhiệt) không bị nổ, nứt vỡ hay rạn nứt do sự thay đổi nhiệt độ đột ngột (sốc nhiệt).</t>
  </si>
  <si>
    <t>TC17</t>
  </si>
  <si>
    <t>Kiểm tra an toàn chập điện khi nước trào (Spill/Water Ingress Test).</t>
  </si>
  <si>
    <t>- Nồi nước đun sôi trào.
- Bút thử điện / Đồng hồ vạn năng.</t>
  </si>
  <si>
    <t>1. Bật bếp đun nồi nước đầy cho đến khi sôi và trào bọt mạnh ra ngoài mặt kính.
2. Để nước chảy lan mạn xuống khu vực bảng điều khiển và khe hở của núm vặn cơ học.
3. Dùng bút thử điện kiểm tra vỏ ngoài và chạm tay (có đồ bảo hộ) vào núm vặn.</t>
  </si>
  <si>
    <t>Nước không xâm nhập được vào bo mạch điện tử bên trong qua khe hở. Bếp không bị ngắn mạch (chập cháy), không rò điện ra vỏ nhựa/vùng điều khiển gây giật cho người dùng.</t>
  </si>
  <si>
    <t>Không xảy ra chập mạch, không rò rỉ điện khi nước trào vào khu vực điều khiển.</t>
  </si>
  <si>
    <t>TC18</t>
  </si>
  <si>
    <t>Kiểm tra độ bám và chống trượt khi thao tác (Ma sát chân đế).</t>
  </si>
  <si>
    <t>- Mặt bàn bếp bằng đá hoa cương/kính nhẵn.
- Nồi/chảo có chứa thức ăn.</t>
  </si>
  <si>
    <t>1. Đặt bếp (trọng lượng nhẹ 1.9kg) lên mặt đá hoa cương trơn.
2. Đặt chảo lên bếp, dùng muôi/đũa thao tác xào, đảo mạnh thức ăn hoặc đẩy nhẹ chảo trên mặt kính.</t>
  </si>
  <si>
    <t>Các chân đế cao su dưới đáy bếp có độ mút/bám ma sát tốt. Bếp không bị xê dịch, trượt đi trượt lại trên mặt bàn khi người dùng thao tác nấu nướng mạnh tay.</t>
  </si>
  <si>
    <t>Đế cao su bám dính tốt, bếp vững vàng không bị xê dịch khi tác động lực.</t>
  </si>
  <si>
    <t>GIẢI THÍCH LÝ DO VÌ SAO AI TRƯỚC ĐÓ BỎ SÓT</t>
  </si>
  <si>
    <t>Hạng mục kiểm thử</t>
  </si>
  <si>
    <t>Phân tích nguyên nhân AI bỏ sót &amp; Tầm quan trọng thực tế</t>
  </si>
  <si>
    <t>1. Đối với TC16 (Sốc nhiệt mặt kính)</t>
  </si>
  <si>
    <t>Lý do AI sót: Đặc thù lớn nhất của bếp hồng ngoại (so với bếp từ) là mặt kính bị nung nóng trực tiếp bởi bóng halogen/mâm nhiệt bên dưới, nhiệt độ bề mặt có thể lên tới 500-600°C. AI trước đó đã test "độ chịu lực" (TC09 - đè nồi 10kg lên) nhưng lại quên mất điểm yếu vật lý chí mạng nhất của kính là "sốc nhiệt". Quá trình nấu nướng thực tế rất dễ rớt nước lạnh hoặc nước canh từ ngoài vào mâm đang đỏ lửa. AI chỉ tư duy theo hướng "nóng tĩnh" mà thiếu tư duy về "biến thiên nhiệt độ đột ngột".</t>
  </si>
  <si>
    <t>2. Đối với TC17 (Tràn nước vào núm cơ học)</t>
  </si>
  <si>
    <t>Lý do AI sót: AI nhìn thấy thông số "Bếp cơ" và chỉ test xem núm vặn có trơn tru không (TC06). Tuy nhiên, nó không nhận ra một rủi ro UX cực lớn của bếp điều khiển cơ (núm xoay) so với bếp cảm ứng: Núm xoay luôn có khe hở vật lý nối trực tiếp vào mạch bên trong thân máy. Trong môi trường bếp, việc trào nước/canh là xảy ra thường xuyên. AI thiếu "bối cảnh thảm họa nhà bếp" (Kitchen Disaster Context) để test khả năng chống nước xâm nhập tại các khe hở cơ học này.</t>
  </si>
  <si>
    <t>3. Đối với TC18 (Độ bám chống trượt do trọng lượng nhẹ)</t>
  </si>
  <si>
    <t>Lý do AI sót: Ở TC04, AI lấy thông số "1.9 kg" trên nhãn để đi test... xem cân lên có đúng 1.9 kg hay không. Đây là tư duy xác minh thông số rất máy móc. Với một QA phần cứng có kinh nghiệm, khi nhìn thấy một chiếc bếp chỉ nặng 1.9 kg (khá nhẹ), họ sẽ nảy ra ngay câu hỏi về tính Động lực học (Kinetic): "Nếu nó nhẹ thế này, khi đặt chảo lên xào nấu đảo mạnh, lực tay đẩy ngang có làm cả chiếc bếp trượt đi trên mặt bàn trơn không?". AI không có cơ thể vật lý, không nấu ăn bao giờ nên không có cảm quan về lực cản ma sát trong quá trình thao tác xào nấu thực tế.</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</si>
</sst>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0">
    <font>
      <sz val="10.0"/>
      <color rgb="FF000000"/>
      <name val="Arial"/>
      <scheme val="minor"/>
    </font>
    <font>
      <b/>
      <sz val="16.0"/>
      <color rgb="FF1C4775"/>
      <name val="Roboto"/>
    </font>
    <font>
      <sz val="10.0"/>
      <color rgb="FF727A84"/>
      <name val="Roboto"/>
    </font>
    <font>
      <b/>
      <sz val="9.0"/>
      <color rgb="FF1C4775"/>
      <name val="Roboto"/>
    </font>
    <font/>
    <font>
      <b/>
      <sz val="9.0"/>
      <color rgb="FF137333"/>
      <name val="Roboto"/>
    </font>
    <font>
      <b/>
      <sz val="9.0"/>
      <color rgb="FFC5201F"/>
      <name val="Roboto"/>
    </font>
    <font>
      <b/>
      <sz val="9.0"/>
      <color rgb="FFAE5F00"/>
      <name val="Roboto"/>
    </font>
    <font>
      <b/>
      <sz val="9.0"/>
      <color rgb="FF1A73E8"/>
      <name val="Roboto"/>
    </font>
    <font>
      <b/>
      <sz val="20.0"/>
      <color rgb="FF1C4775"/>
      <name val="Roboto"/>
    </font>
    <font>
      <b/>
      <sz val="20.0"/>
      <color rgb="FF137333"/>
      <name val="Roboto"/>
    </font>
    <font>
      <b/>
      <sz val="20.0"/>
      <color rgb="FFC5201F"/>
      <name val="Roboto"/>
    </font>
    <font>
      <b/>
      <sz val="20.0"/>
      <color rgb="FFAE5F00"/>
      <name val="Roboto"/>
    </font>
    <font>
      <b/>
      <sz val="20.0"/>
      <color rgb="FF1A73E8"/>
      <name val="Roboto"/>
    </font>
    <font>
      <b/>
      <sz val="10.0"/>
      <color rgb="FFFFFFFF"/>
      <name val="Roboto"/>
    </font>
    <font>
      <b/>
      <sz val="10.0"/>
      <color rgb="FF1C4775"/>
      <name val="Roboto"/>
    </font>
    <font>
      <sz val="10.0"/>
      <color theme="1"/>
      <name val="Roboto"/>
    </font>
    <font>
      <i/>
      <sz val="10.0"/>
      <color rgb="FF7F7F7F"/>
      <name val="Roboto"/>
    </font>
    <font>
      <b/>
      <sz val="11.0"/>
      <color rgb="FF1C4875"/>
      <name val="Roboto"/>
    </font>
    <font>
      <b/>
      <sz val="10.0"/>
      <color rgb="FF1C4875"/>
      <name val="Roboto"/>
    </font>
  </fonts>
  <fills count="11">
    <fill>
      <patternFill patternType="none"/>
    </fill>
    <fill>
      <patternFill patternType="lightGray"/>
    </fill>
    <fill>
      <patternFill patternType="solid">
        <fgColor rgb="FFECF3F8"/>
        <bgColor rgb="FFECF3F8"/>
      </patternFill>
    </fill>
    <fill>
      <patternFill patternType="solid">
        <fgColor rgb="FFE6F4EA"/>
        <bgColor rgb="FFE6F4EA"/>
      </patternFill>
    </fill>
    <fill>
      <patternFill patternType="solid">
        <fgColor rgb="FFFAE8E6"/>
        <bgColor rgb="FFFAE8E6"/>
      </patternFill>
    </fill>
    <fill>
      <patternFill patternType="solid">
        <fgColor rgb="FFFCF7DF"/>
        <bgColor rgb="FFFCF7DF"/>
      </patternFill>
    </fill>
    <fill>
      <patternFill patternType="solid">
        <fgColor rgb="FFE8EEFC"/>
        <bgColor rgb="FFE8EEFC"/>
      </patternFill>
    </fill>
    <fill>
      <patternFill patternType="solid">
        <fgColor rgb="FF1C4775"/>
        <bgColor rgb="FF1C4775"/>
      </patternFill>
    </fill>
    <fill>
      <patternFill patternType="solid">
        <fgColor rgb="FFFFFFFF"/>
        <bgColor rgb="FFFFFFFF"/>
      </patternFill>
    </fill>
    <fill>
      <patternFill patternType="solid">
        <fgColor rgb="FFEDF3F8"/>
        <bgColor rgb="FFEDF3F8"/>
      </patternFill>
    </fill>
    <fill>
      <patternFill patternType="solid">
        <fgColor rgb="FFF8F9FC"/>
        <bgColor rgb="FFF8F9FC"/>
      </patternFill>
    </fill>
  </fills>
  <borders count="16">
    <border/>
    <border>
      <left style="thin">
        <color rgb="FFCCD5E1"/>
      </left>
      <top style="thin">
        <color rgb="FFCCD5E1"/>
      </top>
      <bottom style="thin">
        <color rgb="FFCCD5E1"/>
      </bottom>
    </border>
    <border>
      <right style="thin">
        <color rgb="FFCCD5E1"/>
      </right>
      <top style="thin">
        <color rgb="FFCCD5E1"/>
      </top>
      <bottom style="thin">
        <color rgb="FFCCD5E1"/>
      </bottom>
    </border>
    <border>
      <left style="thin">
        <color rgb="FFBEDDC5"/>
      </left>
      <right style="thin">
        <color rgb="FFBEDDC5"/>
      </right>
      <top style="thin">
        <color rgb="FFBEDDC5"/>
      </top>
      <bottom style="thin">
        <color rgb="FFBEDDC5"/>
      </bottom>
    </border>
    <border>
      <left style="thin">
        <color rgb="FFECC5C1"/>
      </left>
      <right style="thin">
        <color rgb="FFECC5C1"/>
      </right>
      <top style="thin">
        <color rgb="FFECC5C1"/>
      </top>
      <bottom style="thin">
        <color rgb="FFECC5C1"/>
      </bottom>
    </border>
    <border>
      <left style="thin">
        <color rgb="FFECDFB7"/>
      </left>
      <right style="thin">
        <color rgb="FFECDFB7"/>
      </right>
      <top style="thin">
        <color rgb="FFECDFB7"/>
      </top>
      <bottom style="thin">
        <color rgb="FFECDFB7"/>
      </bottom>
    </border>
    <border>
      <left style="thin">
        <color rgb="FFC5D7F1"/>
      </left>
      <top style="thin">
        <color rgb="FFC5D7F1"/>
      </top>
      <bottom style="thin">
        <color rgb="FFC5D7F1"/>
      </bottom>
    </border>
    <border>
      <right style="thin">
        <color rgb="FFC5D7F1"/>
      </right>
      <top style="thin">
        <color rgb="FFC5D7F1"/>
      </top>
      <bottom style="thin">
        <color rgb="FFC5D7F1"/>
      </bottom>
    </border>
    <border>
      <left style="thin">
        <color rgb="FFDFE4EC"/>
      </left>
      <right style="thin">
        <color rgb="FFDFE4EC"/>
      </right>
      <top style="thin">
        <color rgb="FFDFE4EC"/>
      </top>
      <bottom style="thin">
        <color rgb="FFDFE4EC"/>
      </bottom>
    </border>
    <border>
      <left style="thin">
        <color rgb="FFCCD3DB"/>
      </left>
      <top style="thin">
        <color rgb="FFCCD3DB"/>
      </top>
      <bottom style="thin">
        <color rgb="FFE0E5ED"/>
      </bottom>
    </border>
    <border>
      <top style="thin">
        <color rgb="FFCCD3DB"/>
      </top>
      <bottom style="thin">
        <color rgb="FFE0E5ED"/>
      </bottom>
    </border>
    <border>
      <right style="thin">
        <color rgb="FFCCD3DB"/>
      </right>
      <top style="thin">
        <color rgb="FFCCD3DB"/>
      </top>
      <bottom style="thin">
        <color rgb="FFE0E5ED"/>
      </bottom>
    </border>
    <border>
      <left style="thin">
        <color rgb="FFE0E5ED"/>
      </left>
      <right style="thin">
        <color rgb="FFE0E5ED"/>
      </right>
      <top style="thin">
        <color rgb="FFE0E5ED"/>
      </top>
      <bottom style="thin">
        <color rgb="FFE0E5ED"/>
      </bottom>
    </border>
    <border>
      <left style="thin">
        <color rgb="FFE0E5ED"/>
      </left>
      <top style="thin">
        <color rgb="FFE0E5ED"/>
      </top>
      <bottom style="thin">
        <color rgb="FFE0E5ED"/>
      </bottom>
    </border>
    <border>
      <top style="thin">
        <color rgb="FFE0E5ED"/>
      </top>
      <bottom style="thin">
        <color rgb="FFE0E5ED"/>
      </bottom>
    </border>
    <border>
      <right style="thin">
        <color rgb="FFE0E5ED"/>
      </right>
      <top style="thin">
        <color rgb="FFE0E5ED"/>
      </top>
      <bottom style="thin">
        <color rgb="FFE0E5ED"/>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vertical="center"/>
    </xf>
    <xf borderId="0" fillId="0" fontId="2" numFmtId="0" xfId="0" applyAlignment="1" applyFont="1">
      <alignment readingOrder="0" vertical="center"/>
    </xf>
    <xf borderId="0" fillId="0" fontId="2" numFmtId="0" xfId="0" applyAlignment="1" applyFont="1">
      <alignment vertical="center"/>
    </xf>
    <xf borderId="1" fillId="2" fontId="3" numFmtId="0" xfId="0" applyAlignment="1" applyBorder="1" applyFill="1" applyFont="1">
      <alignment horizontal="center" readingOrder="0" vertical="center"/>
    </xf>
    <xf borderId="2" fillId="0" fontId="4" numFmtId="0" xfId="0" applyBorder="1" applyFont="1"/>
    <xf borderId="3" fillId="3" fontId="5" numFmtId="0" xfId="0" applyAlignment="1" applyBorder="1" applyFill="1" applyFont="1">
      <alignment horizontal="center" readingOrder="0" vertical="center"/>
    </xf>
    <xf borderId="4" fillId="4" fontId="6" numFmtId="0" xfId="0" applyAlignment="1" applyBorder="1" applyFill="1" applyFont="1">
      <alignment horizontal="center" readingOrder="0" vertical="center"/>
    </xf>
    <xf borderId="5" fillId="5" fontId="7" numFmtId="0" xfId="0" applyAlignment="1" applyBorder="1" applyFill="1" applyFont="1">
      <alignment horizontal="center" readingOrder="0" vertical="center"/>
    </xf>
    <xf borderId="6" fillId="6" fontId="8" numFmtId="0" xfId="0" applyAlignment="1" applyBorder="1" applyFill="1" applyFont="1">
      <alignment horizontal="center" readingOrder="0" vertical="center"/>
    </xf>
    <xf borderId="7" fillId="0" fontId="4" numFmtId="0" xfId="0" applyBorder="1" applyFont="1"/>
    <xf borderId="1" fillId="2" fontId="9" numFmtId="0" xfId="0" applyAlignment="1" applyBorder="1" applyFill="1" applyFont="1">
      <alignment horizontal="center" vertical="center"/>
    </xf>
    <xf borderId="3" fillId="3" fontId="10" numFmtId="0" xfId="0" applyAlignment="1" applyBorder="1" applyFill="1" applyFont="1">
      <alignment horizontal="center" vertical="center"/>
    </xf>
    <xf borderId="4" fillId="4" fontId="11" numFmtId="0" xfId="0" applyAlignment="1" applyBorder="1" applyFill="1" applyFont="1">
      <alignment horizontal="center" vertical="center"/>
    </xf>
    <xf borderId="5" fillId="5" fontId="12" numFmtId="0" xfId="0" applyAlignment="1" applyBorder="1" applyFill="1" applyFont="1">
      <alignment horizontal="center" vertical="center"/>
    </xf>
    <xf borderId="6" fillId="6" fontId="13" numFmtId="164" xfId="0" applyAlignment="1" applyBorder="1" applyFill="1" applyFont="1" applyNumberFormat="1">
      <alignment horizontal="center" vertical="center"/>
    </xf>
    <xf borderId="0" fillId="7" fontId="14" numFmtId="0" xfId="0" applyAlignment="1" applyFill="1" applyFont="1">
      <alignment horizontal="center" readingOrder="0" shrinkToFit="0" vertical="center" wrapText="1"/>
    </xf>
    <xf borderId="8" fillId="8" fontId="15" numFmtId="0" xfId="0" applyAlignment="1" applyBorder="1" applyFill="1" applyFont="1">
      <alignment horizontal="center" readingOrder="0" shrinkToFit="0" vertical="center" wrapText="1"/>
    </xf>
    <xf borderId="8" fillId="8" fontId="16" numFmtId="0" xfId="0" applyAlignment="1" applyBorder="1" applyFill="1" applyFont="1">
      <alignment readingOrder="0" shrinkToFit="0" vertical="center" wrapText="1"/>
    </xf>
    <xf borderId="8" fillId="8" fontId="17" numFmtId="0" xfId="0" applyAlignment="1" applyBorder="1" applyFill="1" applyFont="1">
      <alignment horizontal="center" readingOrder="0" shrinkToFit="0" vertical="center" wrapText="1"/>
    </xf>
    <xf borderId="8" fillId="8" fontId="16" numFmtId="0" xfId="0" applyAlignment="1" applyBorder="1" applyFill="1" applyFont="1">
      <alignment horizontal="center" readingOrder="0" shrinkToFit="0" vertical="center" wrapText="1"/>
    </xf>
    <xf borderId="9" fillId="9" fontId="18" numFmtId="0" xfId="0" applyAlignment="1" applyBorder="1" applyFill="1" applyFont="1">
      <alignment horizontal="left" readingOrder="0" vertical="center"/>
    </xf>
    <xf borderId="10" fillId="0" fontId="4" numFmtId="0" xfId="0" applyBorder="1" applyFont="1"/>
    <xf borderId="11" fillId="0" fontId="4" numFmtId="0" xfId="0" applyBorder="1" applyFont="1"/>
    <xf borderId="12" fillId="7" fontId="14" numFmtId="0" xfId="0" applyAlignment="1" applyBorder="1" applyFill="1" applyFont="1">
      <alignment horizontal="center" readingOrder="0" shrinkToFit="0" vertical="center" wrapText="1"/>
    </xf>
    <xf borderId="8" fillId="8" fontId="16" numFmtId="0" xfId="0" applyAlignment="1" applyBorder="1" applyFill="1" applyFont="1">
      <alignment horizontal="left" readingOrder="0" shrinkToFit="0" vertical="center" wrapText="1"/>
    </xf>
    <xf borderId="8" fillId="10" fontId="15" numFmtId="0" xfId="0" applyAlignment="1" applyBorder="1" applyFill="1" applyFont="1">
      <alignment horizontal="center" readingOrder="0" shrinkToFit="0" vertical="center" wrapText="1"/>
    </xf>
    <xf borderId="8" fillId="10" fontId="16" numFmtId="0" xfId="0" applyAlignment="1" applyBorder="1" applyFill="1" applyFont="1">
      <alignment horizontal="left" readingOrder="0" shrinkToFit="0" vertical="center" wrapText="1"/>
    </xf>
    <xf borderId="8" fillId="10" fontId="17" numFmtId="0" xfId="0" applyAlignment="1" applyBorder="1" applyFill="1" applyFont="1">
      <alignment horizontal="center" readingOrder="0" shrinkToFit="0" vertical="center" wrapText="1"/>
    </xf>
    <xf borderId="8" fillId="10" fontId="16" numFmtId="0" xfId="0" applyAlignment="1" applyBorder="1" applyFill="1" applyFont="1">
      <alignment horizontal="center" readingOrder="0" shrinkToFit="0" vertical="center" wrapText="1"/>
    </xf>
    <xf borderId="13" fillId="7" fontId="14" numFmtId="0" xfId="0" applyAlignment="1" applyBorder="1" applyFill="1" applyFont="1">
      <alignment horizontal="center" readingOrder="0" shrinkToFit="0" vertical="center" wrapText="1"/>
    </xf>
    <xf borderId="14" fillId="0" fontId="4" numFmtId="0" xfId="0" applyBorder="1" applyFont="1"/>
    <xf borderId="15" fillId="0" fontId="4" numFmtId="0" xfId="0" applyBorder="1" applyFont="1"/>
    <xf borderId="12" fillId="8" fontId="19" numFmtId="0" xfId="0" applyAlignment="1" applyBorder="1" applyFill="1" applyFont="1">
      <alignment horizontal="left" readingOrder="0" shrinkToFit="0" vertical="top" wrapText="1"/>
    </xf>
    <xf borderId="13" fillId="8" fontId="16" numFmtId="0" xfId="0" applyAlignment="1" applyBorder="1" applyFill="1" applyFont="1">
      <alignment horizontal="left" readingOrder="0" shrinkToFit="0" vertical="top" wrapText="1"/>
    </xf>
    <xf borderId="12" fillId="10" fontId="19" numFmtId="0" xfId="0" applyAlignment="1" applyBorder="1" applyFill="1" applyFont="1">
      <alignment horizontal="left" readingOrder="0" shrinkToFit="0" vertical="top" wrapText="1"/>
    </xf>
    <xf borderId="13" fillId="10" fontId="16" numFmtId="0" xfId="0" applyAlignment="1" applyBorder="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11.38"/>
    <col customWidth="1" min="3" max="3" width="32.63"/>
    <col customWidth="1" min="4" max="4" width="27.63"/>
    <col customWidth="1" min="5" max="6" width="38.88"/>
    <col customWidth="1" min="7" max="7" width="17.63"/>
    <col customWidth="1" min="8" max="8" width="15.13"/>
  </cols>
  <sheetData>
    <row r="2" ht="27.0" customHeight="1">
      <c r="B2" s="1" t="s">
        <v>0</v>
      </c>
      <c r="C2" s="2"/>
      <c r="D2" s="2"/>
      <c r="E2" s="2"/>
      <c r="F2" s="2"/>
      <c r="G2" s="2"/>
      <c r="H2" s="2"/>
    </row>
    <row r="3" ht="18.0" customHeight="1">
      <c r="B3" s="3" t="s">
        <v>1</v>
      </c>
      <c r="C3" s="4"/>
      <c r="D3" s="4"/>
      <c r="E3" s="4"/>
      <c r="F3" s="4"/>
      <c r="G3" s="4"/>
      <c r="H3" s="4"/>
    </row>
    <row r="5" ht="21.0" customHeight="1">
      <c r="B5" s="5" t="s">
        <v>2</v>
      </c>
      <c r="C5" s="6"/>
      <c r="D5" s="7" t="s">
        <v>3</v>
      </c>
      <c r="E5" s="8" t="s">
        <v>4</v>
      </c>
      <c r="F5" s="9" t="s">
        <v>5</v>
      </c>
      <c r="G5" s="10" t="s">
        <v>6</v>
      </c>
      <c r="H5" s="11"/>
    </row>
    <row r="6" ht="33.0" customHeight="1">
      <c r="B6" s="12">
        <f>COUNTA(B9:B23)</f>
        <v>15</v>
      </c>
      <c r="C6" s="6"/>
      <c r="D6" s="13">
        <f>COUNTIF(H9:H23, "Pass")</f>
        <v>12</v>
      </c>
      <c r="E6" s="14">
        <f>COUNTIF(H9:H23, "Fail")</f>
        <v>1</v>
      </c>
      <c r="F6" s="15">
        <f>COUNTIF(H9:H23, "Pending") + COUNTIF(H9:H23, "Blocked")</f>
        <v>2</v>
      </c>
      <c r="G6" s="16">
        <f>IFERROR(D6/B6, 0)</f>
        <v>0.8</v>
      </c>
      <c r="H6" s="11"/>
    </row>
    <row r="8" ht="27.0" customHeight="1">
      <c r="B8" s="17" t="s">
        <v>7</v>
      </c>
      <c r="C8" s="17" t="s">
        <v>8</v>
      </c>
      <c r="D8" s="17" t="s">
        <v>9</v>
      </c>
      <c r="E8" s="17" t="s">
        <v>10</v>
      </c>
      <c r="F8" s="17" t="s">
        <v>11</v>
      </c>
      <c r="G8" s="17" t="s">
        <v>12</v>
      </c>
      <c r="H8" s="17" t="s">
        <v>13</v>
      </c>
    </row>
    <row r="9">
      <c r="B9" s="18" t="s">
        <v>14</v>
      </c>
      <c r="C9" s="19" t="s">
        <v>15</v>
      </c>
      <c r="D9" s="19" t="s">
        <v>16</v>
      </c>
      <c r="E9" s="19" t="s">
        <v>17</v>
      </c>
      <c r="F9" s="19" t="s">
        <v>18</v>
      </c>
      <c r="G9" s="20" t="s">
        <v>19</v>
      </c>
      <c r="H9" s="21" t="s">
        <v>20</v>
      </c>
    </row>
    <row r="10">
      <c r="B10" s="18" t="s">
        <v>21</v>
      </c>
      <c r="C10" s="19" t="s">
        <v>22</v>
      </c>
      <c r="D10" s="19" t="s">
        <v>23</v>
      </c>
      <c r="E10" s="19" t="s">
        <v>24</v>
      </c>
      <c r="F10" s="19" t="s">
        <v>25</v>
      </c>
      <c r="G10" s="20" t="s">
        <v>26</v>
      </c>
      <c r="H10" s="21" t="s">
        <v>27</v>
      </c>
    </row>
    <row r="11">
      <c r="B11" s="18" t="s">
        <v>28</v>
      </c>
      <c r="C11" s="19" t="s">
        <v>29</v>
      </c>
      <c r="D11" s="19" t="s">
        <v>30</v>
      </c>
      <c r="E11" s="19" t="s">
        <v>31</v>
      </c>
      <c r="F11" s="19" t="s">
        <v>32</v>
      </c>
      <c r="G11" s="20" t="s">
        <v>33</v>
      </c>
      <c r="H11" s="21" t="s">
        <v>20</v>
      </c>
    </row>
    <row r="12">
      <c r="B12" s="18" t="s">
        <v>34</v>
      </c>
      <c r="C12" s="19" t="s">
        <v>35</v>
      </c>
      <c r="D12" s="19" t="s">
        <v>36</v>
      </c>
      <c r="E12" s="19" t="s">
        <v>37</v>
      </c>
      <c r="F12" s="19" t="s">
        <v>38</v>
      </c>
      <c r="G12" s="20" t="s">
        <v>39</v>
      </c>
      <c r="H12" s="21" t="s">
        <v>20</v>
      </c>
    </row>
    <row r="13">
      <c r="B13" s="18" t="s">
        <v>40</v>
      </c>
      <c r="C13" s="19" t="s">
        <v>41</v>
      </c>
      <c r="D13" s="19" t="s">
        <v>42</v>
      </c>
      <c r="E13" s="19" t="s">
        <v>43</v>
      </c>
      <c r="F13" s="19" t="s">
        <v>44</v>
      </c>
      <c r="G13" s="20" t="s">
        <v>45</v>
      </c>
      <c r="H13" s="21" t="s">
        <v>20</v>
      </c>
    </row>
    <row r="14">
      <c r="B14" s="18" t="s">
        <v>46</v>
      </c>
      <c r="C14" s="19" t="s">
        <v>47</v>
      </c>
      <c r="D14" s="19" t="s">
        <v>48</v>
      </c>
      <c r="E14" s="19" t="s">
        <v>49</v>
      </c>
      <c r="F14" s="19" t="s">
        <v>50</v>
      </c>
      <c r="G14" s="20" t="s">
        <v>51</v>
      </c>
      <c r="H14" s="21" t="s">
        <v>20</v>
      </c>
    </row>
    <row r="15">
      <c r="B15" s="18" t="s">
        <v>52</v>
      </c>
      <c r="C15" s="19" t="s">
        <v>53</v>
      </c>
      <c r="D15" s="19" t="s">
        <v>54</v>
      </c>
      <c r="E15" s="19" t="s">
        <v>55</v>
      </c>
      <c r="F15" s="19" t="s">
        <v>56</v>
      </c>
      <c r="G15" s="20" t="s">
        <v>57</v>
      </c>
      <c r="H15" s="21" t="s">
        <v>20</v>
      </c>
    </row>
    <row r="16">
      <c r="B16" s="18" t="s">
        <v>58</v>
      </c>
      <c r="C16" s="19" t="s">
        <v>59</v>
      </c>
      <c r="D16" s="19" t="s">
        <v>60</v>
      </c>
      <c r="E16" s="19" t="s">
        <v>61</v>
      </c>
      <c r="F16" s="19" t="s">
        <v>62</v>
      </c>
      <c r="G16" s="20" t="s">
        <v>63</v>
      </c>
      <c r="H16" s="21" t="s">
        <v>20</v>
      </c>
    </row>
    <row r="17">
      <c r="B17" s="18" t="s">
        <v>64</v>
      </c>
      <c r="C17" s="19" t="s">
        <v>65</v>
      </c>
      <c r="D17" s="19" t="s">
        <v>66</v>
      </c>
      <c r="E17" s="19" t="s">
        <v>67</v>
      </c>
      <c r="F17" s="19" t="s">
        <v>68</v>
      </c>
      <c r="G17" s="20" t="s">
        <v>69</v>
      </c>
      <c r="H17" s="21" t="s">
        <v>20</v>
      </c>
    </row>
    <row r="18">
      <c r="B18" s="18" t="s">
        <v>70</v>
      </c>
      <c r="C18" s="19" t="s">
        <v>71</v>
      </c>
      <c r="D18" s="19" t="s">
        <v>72</v>
      </c>
      <c r="E18" s="19" t="s">
        <v>73</v>
      </c>
      <c r="F18" s="19" t="s">
        <v>74</v>
      </c>
      <c r="G18" s="20" t="s">
        <v>75</v>
      </c>
      <c r="H18" s="21" t="s">
        <v>20</v>
      </c>
    </row>
    <row r="19">
      <c r="B19" s="18" t="s">
        <v>76</v>
      </c>
      <c r="C19" s="19" t="s">
        <v>77</v>
      </c>
      <c r="D19" s="19" t="s">
        <v>78</v>
      </c>
      <c r="E19" s="19" t="s">
        <v>79</v>
      </c>
      <c r="F19" s="19" t="s">
        <v>80</v>
      </c>
      <c r="G19" s="20" t="s">
        <v>81</v>
      </c>
      <c r="H19" s="21" t="s">
        <v>20</v>
      </c>
    </row>
    <row r="20">
      <c r="B20" s="18" t="s">
        <v>82</v>
      </c>
      <c r="C20" s="19" t="s">
        <v>83</v>
      </c>
      <c r="D20" s="19" t="s">
        <v>84</v>
      </c>
      <c r="E20" s="19" t="s">
        <v>85</v>
      </c>
      <c r="F20" s="19" t="s">
        <v>86</v>
      </c>
      <c r="G20" s="20" t="s">
        <v>87</v>
      </c>
      <c r="H20" s="21" t="s">
        <v>20</v>
      </c>
    </row>
    <row r="21">
      <c r="B21" s="18" t="s">
        <v>88</v>
      </c>
      <c r="C21" s="19" t="s">
        <v>89</v>
      </c>
      <c r="D21" s="19" t="s">
        <v>90</v>
      </c>
      <c r="E21" s="19" t="s">
        <v>91</v>
      </c>
      <c r="F21" s="19" t="s">
        <v>92</v>
      </c>
      <c r="G21" s="20" t="s">
        <v>93</v>
      </c>
      <c r="H21" s="21" t="s">
        <v>20</v>
      </c>
    </row>
    <row r="22">
      <c r="B22" s="18" t="s">
        <v>94</v>
      </c>
      <c r="C22" s="19" t="s">
        <v>95</v>
      </c>
      <c r="D22" s="19" t="s">
        <v>96</v>
      </c>
      <c r="E22" s="19" t="s">
        <v>97</v>
      </c>
      <c r="F22" s="19" t="s">
        <v>98</v>
      </c>
      <c r="G22" s="20" t="s">
        <v>99</v>
      </c>
      <c r="H22" s="21" t="s">
        <v>100</v>
      </c>
    </row>
    <row r="23">
      <c r="B23" s="18" t="s">
        <v>101</v>
      </c>
      <c r="C23" s="19" t="s">
        <v>102</v>
      </c>
      <c r="D23" s="19" t="s">
        <v>103</v>
      </c>
      <c r="E23" s="19" t="s">
        <v>104</v>
      </c>
      <c r="F23" s="19" t="s">
        <v>105</v>
      </c>
      <c r="G23" s="20" t="s">
        <v>26</v>
      </c>
      <c r="H23" s="21" t="s">
        <v>27</v>
      </c>
    </row>
    <row r="26">
      <c r="B26" s="22" t="s">
        <v>106</v>
      </c>
      <c r="C26" s="23"/>
      <c r="D26" s="23"/>
      <c r="E26" s="23"/>
      <c r="F26" s="23"/>
      <c r="G26" s="23"/>
      <c r="H26" s="24"/>
    </row>
    <row r="27">
      <c r="B27" s="25" t="s">
        <v>7</v>
      </c>
      <c r="C27" s="25" t="s">
        <v>8</v>
      </c>
      <c r="D27" s="25" t="s">
        <v>9</v>
      </c>
      <c r="E27" s="25" t="s">
        <v>10</v>
      </c>
      <c r="F27" s="25" t="s">
        <v>11</v>
      </c>
      <c r="G27" s="25" t="s">
        <v>12</v>
      </c>
      <c r="H27" s="25" t="s">
        <v>13</v>
      </c>
    </row>
    <row r="28">
      <c r="B28" s="18" t="s">
        <v>107</v>
      </c>
      <c r="C28" s="26" t="s">
        <v>108</v>
      </c>
      <c r="D28" s="26" t="s">
        <v>109</v>
      </c>
      <c r="E28" s="26" t="s">
        <v>110</v>
      </c>
      <c r="F28" s="26" t="s">
        <v>111</v>
      </c>
      <c r="G28" s="20" t="s">
        <v>26</v>
      </c>
      <c r="H28" s="21" t="s">
        <v>27</v>
      </c>
    </row>
    <row r="29">
      <c r="B29" s="27" t="s">
        <v>112</v>
      </c>
      <c r="C29" s="28" t="s">
        <v>113</v>
      </c>
      <c r="D29" s="28" t="s">
        <v>114</v>
      </c>
      <c r="E29" s="28" t="s">
        <v>115</v>
      </c>
      <c r="F29" s="28" t="s">
        <v>116</v>
      </c>
      <c r="G29" s="29" t="s">
        <v>117</v>
      </c>
      <c r="H29" s="30" t="s">
        <v>20</v>
      </c>
    </row>
    <row r="30">
      <c r="B30" s="18" t="s">
        <v>118</v>
      </c>
      <c r="C30" s="26" t="s">
        <v>119</v>
      </c>
      <c r="D30" s="26" t="s">
        <v>120</v>
      </c>
      <c r="E30" s="26" t="s">
        <v>121</v>
      </c>
      <c r="F30" s="26" t="s">
        <v>122</v>
      </c>
      <c r="G30" s="20" t="s">
        <v>123</v>
      </c>
      <c r="H30" s="21" t="s">
        <v>20</v>
      </c>
    </row>
    <row r="32">
      <c r="B32" s="22" t="s">
        <v>124</v>
      </c>
      <c r="C32" s="23"/>
      <c r="D32" s="23"/>
      <c r="E32" s="23"/>
      <c r="F32" s="23"/>
      <c r="G32" s="23"/>
      <c r="H32" s="24"/>
    </row>
    <row r="33">
      <c r="B33" s="25" t="s">
        <v>125</v>
      </c>
      <c r="C33" s="31" t="s">
        <v>126</v>
      </c>
      <c r="D33" s="32"/>
      <c r="E33" s="32"/>
      <c r="F33" s="32"/>
      <c r="G33" s="32"/>
      <c r="H33" s="33"/>
    </row>
    <row r="34">
      <c r="B34" s="34" t="s">
        <v>127</v>
      </c>
      <c r="C34" s="35" t="s">
        <v>128</v>
      </c>
      <c r="D34" s="32"/>
      <c r="E34" s="32"/>
      <c r="F34" s="32"/>
      <c r="G34" s="32"/>
      <c r="H34" s="33"/>
    </row>
    <row r="35">
      <c r="B35" s="36" t="s">
        <v>129</v>
      </c>
      <c r="C35" s="37" t="s">
        <v>130</v>
      </c>
      <c r="D35" s="32"/>
      <c r="E35" s="32"/>
      <c r="F35" s="32"/>
      <c r="G35" s="32"/>
      <c r="H35" s="33"/>
    </row>
    <row r="36">
      <c r="B36" s="34" t="s">
        <v>131</v>
      </c>
      <c r="C36" s="35" t="s">
        <v>132</v>
      </c>
      <c r="D36" s="32"/>
      <c r="E36" s="32"/>
      <c r="F36" s="32"/>
      <c r="G36" s="32"/>
      <c r="H36" s="33"/>
    </row>
  </sheetData>
  <mergeCells count="10">
    <mergeCell ref="C34:H34"/>
    <mergeCell ref="C35:H35"/>
    <mergeCell ref="C36:H36"/>
    <mergeCell ref="B5:C5"/>
    <mergeCell ref="G5:H5"/>
    <mergeCell ref="B6:C6"/>
    <mergeCell ref="G6:H6"/>
    <mergeCell ref="B26:H26"/>
    <mergeCell ref="B32:H32"/>
    <mergeCell ref="C33:H33"/>
  </mergeCells>
  <dataValidations>
    <dataValidation type="list" allowBlank="1" sqref="H9:H23 H28:H30">
      <formula1>"Pending,Pass,Fail,Blocked"</formula1>
    </dataValidation>
  </dataValidations>
  <drawing r:id="rId1"/>
</worksheet>
</file>